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a311ce6d64f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f8ab421bec2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yyyy-mm-dd"/>
    <x:numFmt numFmtId="202" formatCode="#,##0.00"/>
    <x:numFmt numFmtId="203" formatCode="0.0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8bc3db3ff74079" /><Relationship Type="http://schemas.openxmlformats.org/officeDocument/2006/relationships/theme" Target="/xl/theme/theme1.xml" Id="Rcdb0122120bb40f0" /><Relationship Type="http://schemas.openxmlformats.org/officeDocument/2006/relationships/sharedStrings" Target="/xl/sharedStrings.xml" Id="R2a7c0298d8164009" /><Relationship Type="http://schemas.openxmlformats.org/officeDocument/2006/relationships/worksheet" Target="/xl/worksheets/sheet1.xml" Id="R7f8ab421bec24d8b" /></Relationships>
</file>

<file path=xl/tables/table1.xml><?xml version="1.0" encoding="utf-8"?>
<x:table xmlns:x="http://schemas.openxmlformats.org/spreadsheetml/2006/main" id="1" name="MYFundamentals" displayName="MYFundamentals" ref="A1:Q9" headerRowCount="1">
  <x:tableColumns count="17">
    <x:tableColumn id="1" name="period_id"/>
    <x:tableColumn id="2" name="company_id"/>
    <x:tableColumn id="3" name="company_symbol"/>
    <x:tableColumn id="4" name="fiscal_year"/>
    <x:tableColumn id="5" name="period_type"/>
    <x:tableColumn id="6" name="period_end_date"/>
    <x:tableColumn id="7" name="report_date"/>
    <x:tableColumn id="8" name="sales_or_operating_income_million_myr"/>
    <x:tableColumn id="9" name="profit_after_tax_million_myr"/>
    <x:tableColumn id="10" name="profit_before_tax_or_ebit_million_myr"/>
    <x:tableColumn id="11" name="eps_myr"/>
    <x:tableColumn id="12" name="yoy_revenue_growth_pct"/>
    <x:tableColumn id="13" name="yoy_profit_growth_pct"/>
    <x:tableColumn id="14" name="revenue_or_sales_source_note"/>
    <x:tableColumn id="15" name="source_url"/>
    <x:tableColumn id="16" name="retrieval_date"/>
    <x:tableColumn id="17" name="source_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68fe21c1674574" /></Relationships>
</file>

<file path=xl/worksheets/sheet1.xml><?xml version="1.0" encoding="utf-8"?>
<x:worksheet xmlns:x="http://schemas.openxmlformats.org/spreadsheetml/2006/main">
  <x:sheetFormatPr defaultRowHeight="15"/>
  <x:cols>
    <x:col min="1" max="1" width="24.229999542236328" hidden="0" customWidth="1"/>
    <x:col min="2" max="2" width="15.069999694824219" hidden="0" customWidth="1"/>
    <x:col min="3" max="3" width="16.959999084472656" hidden="0" customWidth="1"/>
    <x:col min="4" max="4" width="11.3100004196167" hidden="0" customWidth="1"/>
    <x:col min="5" max="5" width="12.649999618530273" hidden="0" customWidth="1"/>
    <x:col min="6" max="6" width="16.690000534057617" hidden="0" customWidth="1"/>
    <x:col min="7" max="7" width="12.380000114440918" hidden="0" customWidth="1"/>
    <x:col min="8" max="8" width="36.06999969482422" hidden="0" customWidth="1"/>
    <x:col min="9" max="9" width="26.3799991607666" hidden="0" customWidth="1"/>
    <x:col min="10" max="10" width="34.86000061035156" hidden="0" customWidth="1"/>
    <x:col min="11" max="11" width="9.6899995803833" hidden="0" customWidth="1"/>
    <x:col min="12" max="12" width="23.549999237060547" hidden="0" customWidth="1"/>
    <x:col min="13" max="13" width="21.530000686645508" hidden="0" customWidth="1"/>
    <x:col min="14" max="14" width="85.33000183105469" hidden="0" customWidth="1"/>
    <x:col min="15" max="15" width="137.82000732421875" hidden="0" customWidth="1"/>
    <x:col min="16" max="16" width="17.09000015258789" hidden="0" customWidth="1"/>
    <x:col min="17" max="17" width="26.3799991607666" hidden="0" customWidth="1"/>
  </x:cols>
  <x:sheetData>
    <x:row r="1" ht="30" customHeight="1">
      <x:c r="A1" s="6" t="str">
        <x:v>period_id</x:v>
      </x:c>
      <x:c r="B1" s="6" t="str">
        <x:v>company_id</x:v>
      </x:c>
      <x:c r="C1" s="6" t="str">
        <x:v>company_symbol</x:v>
      </x:c>
      <x:c r="D1" s="6" t="str">
        <x:v>fiscal_year</x:v>
      </x:c>
      <x:c r="E1" s="6" t="str">
        <x:v>period_type</x:v>
      </x:c>
      <x:c r="F1" s="6" t="str">
        <x:v>period_end_date</x:v>
      </x:c>
      <x:c r="G1" s="6" t="str">
        <x:v>report_date</x:v>
      </x:c>
      <x:c r="H1" s="6" t="str">
        <x:v>sales_or_operating_income_million_myr</x:v>
      </x:c>
      <x:c r="I1" s="6" t="str">
        <x:v>profit_after_tax_million_myr</x:v>
      </x:c>
      <x:c r="J1" s="6" t="str">
        <x:v>profit_before_tax_or_ebit_million_myr</x:v>
      </x:c>
      <x:c r="K1" s="6" t="str">
        <x:v>eps_myr</x:v>
      </x:c>
      <x:c r="L1" s="6" t="str">
        <x:v>yoy_revenue_growth_pct</x:v>
      </x:c>
      <x:c r="M1" s="6" t="str">
        <x:v>yoy_profit_growth_pct</x:v>
      </x:c>
      <x:c r="N1" s="6" t="str">
        <x:v>revenue_or_sales_source_note</x:v>
      </x:c>
      <x:c r="O1" s="6" t="str">
        <x:v>source_url</x:v>
      </x:c>
      <x:c r="P1" s="6" t="str">
        <x:v>retrieval_date</x:v>
      </x:c>
      <x:c r="Q1" s="6" t="str">
        <x:v>source_id</x:v>
      </x:c>
    </x:row>
    <x:row r="2">
      <x:c r="A2" s="13" t="str">
        <x:v>MY_FUND_MAYBANK_FY2024</x:v>
      </x:c>
      <x:c r="B2" s="13" t="str">
        <x:v>MY_CO_MAYBANK</x:v>
      </x:c>
      <x:c r="C2" s="13" t="str">
        <x:v>MAYBANK</x:v>
      </x:c>
      <x:c r="D2" s="13" t="n">
        <x:v>2024</x:v>
      </x:c>
      <x:c r="E2" s="13" t="str">
        <x:v>Annual</x:v>
      </x:c>
      <x:c r="F2" s="18" t="str">
        <x:v>2024-12-31</x:v>
      </x:c>
      <x:c r="G2" s="18" t="str">
        <x:v>2025-04-08</x:v>
      </x:c>
      <x:c r="H2" s="20" t="n">
        <x:v>29572.5</x:v>
      </x:c>
      <x:c r="I2" s="20" t="n">
        <x:v>10088.7</x:v>
      </x:c>
      <x:c r="J2" s="20" t="n">
        <x:v>13701.6</x:v>
      </x:c>
      <x:c r="K2" s="22" t="n">
        <x:v>0.84</x:v>
      </x:c>
      <x:c r="L2" s="16"/>
      <x:c r="M2" s="16"/>
      <x:c r="N2" s="20" t="str">
        <x:v>Net operating income used for bank revenue slot; FY2024 inferred from FY2025 source comparison.</x:v>
      </x:c>
      <x:c r="O2" s="13" t="str">
        <x:v>https://www.maybank.com/iwov-resources/documents/pdf/annual-report/2025/maybank-ar2025-integrated-annual-report.pdf</x:v>
      </x:c>
      <x:c r="P2" s="18" t="str">
        <x:v>2026-06-11T00:00:00</x:v>
      </x:c>
      <x:c r="Q2" s="13" t="str">
        <x:v>MY_SRC_MAYBANK_AR2025</x:v>
      </x:c>
    </x:row>
    <x:row r="3">
      <x:c r="A3" s="13" t="str">
        <x:v>MY_FUND_MAYBANK_FY2025</x:v>
      </x:c>
      <x:c r="B3" s="13" t="str">
        <x:v>MY_CO_MAYBANK</x:v>
      </x:c>
      <x:c r="C3" s="13" t="str">
        <x:v>MAYBANK</x:v>
      </x:c>
      <x:c r="D3" s="13" t="n">
        <x:v>2025</x:v>
      </x:c>
      <x:c r="E3" s="13" t="str">
        <x:v>Annual</x:v>
      </x:c>
      <x:c r="F3" s="18" t="str">
        <x:v>2025-12-31</x:v>
      </x:c>
      <x:c r="G3" s="18" t="str">
        <x:v>2026-04-01</x:v>
      </x:c>
      <x:c r="H3" s="20" t="n">
        <x:v>30379.5</x:v>
      </x:c>
      <x:c r="I3" s="20" t="n">
        <x:v>10513.9</x:v>
      </x:c>
      <x:c r="J3" s="20" t="n">
        <x:v>14333.8</x:v>
      </x:c>
      <x:c r="K3" s="22" t="n">
        <x:v>0.87</x:v>
      </x:c>
      <x:c r="L3" s="16" t="n">
        <x:f>IF(H2=0,"",(H3/H2)-1)</x:f>
        <x:v>0.02728886634542227</x:v>
      </x:c>
      <x:c r="M3" s="16" t="n">
        <x:f>IF(I2=0,"",(I3/I2)-1)</x:f>
        <x:v>0.0421461635294933</x:v>
      </x:c>
      <x:c r="N3" s="20" t="str">
        <x:v>Net operating income used for bank revenue slot.</x:v>
      </x:c>
      <x:c r="O3" s="13" t="str">
        <x:v>https://www.maybank.com/iwov-resources/documents/pdf/annual-report/2025/maybank-ar2025-integrated-annual-report.pdf</x:v>
      </x:c>
      <x:c r="P3" s="18" t="str">
        <x:v>2026-06-11T00:00:00</x:v>
      </x:c>
      <x:c r="Q3" s="13" t="str">
        <x:v>MY_SRC_MAYBANK_AR2025</x:v>
      </x:c>
    </x:row>
    <x:row r="4">
      <x:c r="A4" s="13" t="str">
        <x:v>MY_FUND_CIMB_FY2024</x:v>
      </x:c>
      <x:c r="B4" s="13" t="str">
        <x:v>MY_CO_CIMB</x:v>
      </x:c>
      <x:c r="C4" s="13" t="str">
        <x:v>CIMB</x:v>
      </x:c>
      <x:c r="D4" s="13" t="n">
        <x:v>2024</x:v>
      </x:c>
      <x:c r="E4" s="13" t="str">
        <x:v>Annual</x:v>
      </x:c>
      <x:c r="F4" s="18" t="str">
        <x:v>2024-12-31</x:v>
      </x:c>
      <x:c r="G4" s="18" t="str">
        <x:v>2025-03-27</x:v>
      </x:c>
      <x:c r="H4" s="20" t="n">
        <x:v>22280</x:v>
      </x:c>
      <x:c r="I4" s="20" t="n">
        <x:v>7728</x:v>
      </x:c>
      <x:c r="J4" s="20" t="n">
        <x:v>10400</x:v>
      </x:c>
      <x:c r="K4" s="22" t="n">
        <x:v>0.72</x:v>
      </x:c>
      <x:c r="L4" s="16"/>
      <x:c r="M4" s="16"/>
      <x:c r="N4" s="20" t="str">
        <x:v>Operating-income surrogate retained for portability only; verify against annual report before empirical use.</x:v>
      </x:c>
      <x:c r="O4" s="13" t="str">
        <x:v>https://www.cimb.com/en/newsroom/2026/cimb-delivers-net-profit-of-rm-7-9-billion-with-roe-at-11-3-percent-strengthens-long-term-value-creation-for-shareholders.html</x:v>
      </x:c>
      <x:c r="P4" s="18" t="str">
        <x:v>2026-06-11T00:00:00</x:v>
      </x:c>
      <x:c r="Q4" s="13" t="str">
        <x:v>MY_SRC_CIMB_RESULTS_FY2025</x:v>
      </x:c>
    </x:row>
    <x:row r="5">
      <x:c r="A5" s="13" t="str">
        <x:v>MY_FUND_CIMB_FY2025</x:v>
      </x:c>
      <x:c r="B5" s="13" t="str">
        <x:v>MY_CO_CIMB</x:v>
      </x:c>
      <x:c r="C5" s="13" t="str">
        <x:v>CIMB</x:v>
      </x:c>
      <x:c r="D5" s="13" t="n">
        <x:v>2025</x:v>
      </x:c>
      <x:c r="E5" s="13" t="str">
        <x:v>Annual</x:v>
      </x:c>
      <x:c r="F5" s="18" t="str">
        <x:v>2025-12-31</x:v>
      </x:c>
      <x:c r="G5" s="18" t="str">
        <x:v>2026-03-26</x:v>
      </x:c>
      <x:c r="H5" s="20" t="n">
        <x:v>22500</x:v>
      </x:c>
      <x:c r="I5" s="20" t="n">
        <x:v>7860</x:v>
      </x:c>
      <x:c r="J5" s="20" t="n">
        <x:v>10700</x:v>
      </x:c>
      <x:c r="K5" s="22" t="n">
        <x:v>0.731</x:v>
      </x:c>
      <x:c r="L5" s="16" t="n">
        <x:f>IF(H4=0,"",(H5/H4)-1)</x:f>
        <x:v>0.009874326750448859</x:v>
      </x:c>
      <x:c r="M5" s="16" t="n">
        <x:f>IF(I4=0,"",(I5/I4)-1)</x:f>
        <x:v>0.017080745341614856</x:v>
      </x:c>
      <x:c r="N5" s="20" t="str">
        <x:v>Operating-income surrogate retained for portability only; public result summary gives NP/PBT/EPS.</x:v>
      </x:c>
      <x:c r="O5" s="13" t="str">
        <x:v>https://www.cimb.com/en/newsroom/2026/cimb-delivers-net-profit-of-rm-7-9-billion-with-roe-at-11-3-percent-strengthens-long-term-value-creation-for-shareholders.html</x:v>
      </x:c>
      <x:c r="P5" s="18" t="str">
        <x:v>2026-06-11T00:00:00</x:v>
      </x:c>
      <x:c r="Q5" s="13" t="str">
        <x:v>MY_SRC_CIMB_RESULTS_FY2025</x:v>
      </x:c>
    </x:row>
    <x:row r="6">
      <x:c r="A6" s="13" t="str">
        <x:v>MY_FUND_TM_FY2024</x:v>
      </x:c>
      <x:c r="B6" s="13" t="str">
        <x:v>MY_CO_TM</x:v>
      </x:c>
      <x:c r="C6" s="13" t="str">
        <x:v>TM</x:v>
      </x:c>
      <x:c r="D6" s="13" t="n">
        <x:v>2024</x:v>
      </x:c>
      <x:c r="E6" s="13" t="str">
        <x:v>Annual</x:v>
      </x:c>
      <x:c r="F6" s="18" t="str">
        <x:v>2024-12-31</x:v>
      </x:c>
      <x:c r="G6" s="18" t="str">
        <x:v>2025-04-25</x:v>
      </x:c>
      <x:c r="H6" s="20" t="n">
        <x:v>11800</x:v>
      </x:c>
      <x:c r="I6" s="20" t="n">
        <x:v>1450</x:v>
      </x:c>
      <x:c r="J6" s="20" t="n">
        <x:v>1900</x:v>
      </x:c>
      <x:c r="K6" s="22" t="n">
        <x:v>0.38</x:v>
      </x:c>
      <x:c r="L6" s="16"/>
      <x:c r="M6" s="16"/>
      <x:c r="N6" s="20" t="str">
        <x:v>Public-summary-level prior-year comparator for portability; verify in annual report for audit-grade use.</x:v>
      </x:c>
      <x:c r="O6" s="13" t="str">
        <x:v>https://tm.com.my/iar2025/template/pdf/TM_FR2025.pdf</x:v>
      </x:c>
      <x:c r="P6" s="18" t="str">
        <x:v>2026-06-11T00:00:00</x:v>
      </x:c>
      <x:c r="Q6" s="13" t="str">
        <x:v>MY_SRC_TM_AR2025</x:v>
      </x:c>
    </x:row>
    <x:row r="7">
      <x:c r="A7" s="13" t="str">
        <x:v>MY_FUND_TM_FY2025</x:v>
      </x:c>
      <x:c r="B7" s="13" t="str">
        <x:v>MY_CO_TM</x:v>
      </x:c>
      <x:c r="C7" s="13" t="str">
        <x:v>TM</x:v>
      </x:c>
      <x:c r="D7" s="13" t="n">
        <x:v>2025</x:v>
      </x:c>
      <x:c r="E7" s="13" t="str">
        <x:v>Annual</x:v>
      </x:c>
      <x:c r="F7" s="18" t="str">
        <x:v>2025-12-31</x:v>
      </x:c>
      <x:c r="G7" s="18" t="str">
        <x:v>2026-04-17</x:v>
      </x:c>
      <x:c r="H7" s="20" t="n">
        <x:v>11872</x:v>
      </x:c>
      <x:c r="I7" s="20" t="n">
        <x:v>1710</x:v>
      </x:c>
      <x:c r="J7" s="20" t="n">
        <x:v>2030</x:v>
      </x:c>
      <x:c r="K7" s="22" t="n">
        <x:v>0.44</x:v>
      </x:c>
      <x:c r="L7" s="16" t="n">
        <x:f>IF(H6=0,"",(H7/H6)-1)</x:f>
        <x:v>0.006101694915254141</x:v>
      </x:c>
      <x:c r="M7" s="16" t="n">
        <x:f>IF(I6=0,"",(I7/I6)-1)</x:f>
        <x:v>0.17931034482758612</x:v>
      </x:c>
      <x:c r="N7" s="20" t="str">
        <x:v>Revenue/PATAMI/EBIT reported in TM FY2025 materials.</x:v>
      </x:c>
      <x:c r="O7" s="13" t="str">
        <x:v>https://tm.com.my/iar2025/template/pdf/TM_FR2025.pdf</x:v>
      </x:c>
      <x:c r="P7" s="18" t="str">
        <x:v>2026-06-11T00:00:00</x:v>
      </x:c>
      <x:c r="Q7" s="13" t="str">
        <x:v>MY_SRC_TM_AR2025</x:v>
      </x:c>
    </x:row>
    <x:row r="8">
      <x:c r="A8" s="13" t="str">
        <x:v>MY_FUND_MAXIS_FY2024</x:v>
      </x:c>
      <x:c r="B8" s="13" t="str">
        <x:v>MY_CO_MAXIS</x:v>
      </x:c>
      <x:c r="C8" s="13" t="str">
        <x:v>MAXIS</x:v>
      </x:c>
      <x:c r="D8" s="13" t="n">
        <x:v>2024</x:v>
      </x:c>
      <x:c r="E8" s="13" t="str">
        <x:v>Annual</x:v>
      </x:c>
      <x:c r="F8" s="18" t="str">
        <x:v>2024-12-31</x:v>
      </x:c>
      <x:c r="G8" s="18" t="str">
        <x:v>2025-04-16</x:v>
      </x:c>
      <x:c r="H8" s="20" t="n">
        <x:v>10350</x:v>
      </x:c>
      <x:c r="I8" s="20" t="n">
        <x:v>1396</x:v>
      </x:c>
      <x:c r="J8" s="20" t="n">
        <x:v>1780</x:v>
      </x:c>
      <x:c r="K8" s="22" t="n">
        <x:v>0.178</x:v>
      </x:c>
      <x:c r="L8" s="16"/>
      <x:c r="M8" s="16"/>
      <x:c r="N8" s="20" t="str">
        <x:v>Prior-year comparator from Maxis annual-report summary; verify full statements for audit-grade use.</x:v>
      </x:c>
      <x:c r="O8" s="13" t="str">
        <x:v>https://maxis.listedcompany.com/ar24/</x:v>
      </x:c>
      <x:c r="P8" s="18" t="str">
        <x:v>2026-06-11T00:00:00</x:v>
      </x:c>
      <x:c r="Q8" s="13" t="str">
        <x:v>MY_SRC_MAXIS_AR2024</x:v>
      </x:c>
    </x:row>
    <x:row r="9">
      <x:c r="A9" s="13" t="str">
        <x:v>MY_FUND_MAXIS_FY2025</x:v>
      </x:c>
      <x:c r="B9" s="13" t="str">
        <x:v>MY_CO_MAXIS</x:v>
      </x:c>
      <x:c r="C9" s="13" t="str">
        <x:v>MAXIS</x:v>
      </x:c>
      <x:c r="D9" s="13" t="n">
        <x:v>2025</x:v>
      </x:c>
      <x:c r="E9" s="13" t="str">
        <x:v>Annual</x:v>
      </x:c>
      <x:c r="F9" s="18" t="str">
        <x:v>2025-12-31</x:v>
      </x:c>
      <x:c r="G9" s="18" t="str">
        <x:v>2026-04-16</x:v>
      </x:c>
      <x:c r="H9" s="20" t="n">
        <x:v>10700</x:v>
      </x:c>
      <x:c r="I9" s="20" t="n">
        <x:v>1561</x:v>
      </x:c>
      <x:c r="J9" s="20" t="n">
        <x:v>1950</x:v>
      </x:c>
      <x:c r="K9" s="22" t="n">
        <x:v>0.199</x:v>
      </x:c>
      <x:c r="L9" s="16" t="n">
        <x:f>IF(H8=0,"",(H9/H8)-1)</x:f>
        <x:v>0.033816425120772875</x:v>
      </x:c>
      <x:c r="M9" s="16" t="n">
        <x:f>IF(I8=0,"",(I9/I8)-1)</x:f>
        <x:v>0.11819484240687683</x:v>
      </x:c>
      <x:c r="N9" s="20" t="str">
        <x:v>FY2025 public results summary; revenue approximated from annual-results deck for portability slice.</x:v>
      </x:c>
      <x:c r="O9" s="13" t="str">
        <x:v>https://maxis.listedcompany.com/ar.html</x:v>
      </x:c>
      <x:c r="P9" s="18" t="str">
        <x:v>2026-06-11T00:00:00</x:v>
      </x:c>
      <x:c r="Q9" s="13" t="str">
        <x:v>MY_SRC_MAXIS_AR2025</x:v>
      </x:c>
    </x:row>
  </x:sheetData>
  <x:pageMargins left="0.7" right="0.7" top="0.75" bottom="0.75" header="0.3" footer="0.3"/>
  <x:tableParts count="1">
    <x:tablePart xmlns:r="http://schemas.openxmlformats.org/officeDocument/2006/relationships" r:id="R2168fe21c1674574"/>
  </x:tableParts>
</x:worksheet>
</file>